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d4e3cd4fc7599c/Documents/"/>
    </mc:Choice>
  </mc:AlternateContent>
  <xr:revisionPtr revIDLastSave="83" documentId="8_{904A8FCE-802E-44FE-8A11-CE9A5BA2D8B6}" xr6:coauthVersionLast="47" xr6:coauthVersionMax="47" xr10:uidLastSave="{12A8CF98-45E8-4F27-9AAE-419CA59D0B74}"/>
  <bookViews>
    <workbookView xWindow="-108" yWindow="-108" windowWidth="23256" windowHeight="12456" xr2:uid="{0320B2DD-D48F-4602-A477-CB762808B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<sst xmlns="http://schemas.openxmlformats.org/spreadsheetml/2006/main" count="4" uniqueCount="4">
  <si>
    <t>Voltage</t>
  </si>
  <si>
    <r>
      <t>Scaling factor 0.8V/ degree, Mechanical scan angle (</t>
    </r>
    <r>
      <rPr>
        <sz val="11"/>
        <color theme="1"/>
        <rFont val="Calibri"/>
        <family val="2"/>
      </rPr>
      <t>θ)</t>
    </r>
  </si>
  <si>
    <r>
      <t>Optical scan angle (</t>
    </r>
    <r>
      <rPr>
        <sz val="11"/>
        <color theme="1"/>
        <rFont val="Calibri"/>
        <family val="2"/>
      </rPr>
      <t>α)</t>
    </r>
    <r>
      <rPr>
        <sz val="11"/>
        <color theme="1"/>
        <rFont val="Calibri"/>
        <family val="2"/>
        <scheme val="minor"/>
      </rPr>
      <t xml:space="preserve"> = 2x Mech. Angle</t>
    </r>
  </si>
  <si>
    <t>Physical length with image plane at d(30mm)=2dtan(α)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</si>
</sst>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VS Physical Scan length at a distance (d)) 30 mm, L = 2dtan(</a:t>
            </a:r>
            <a:r>
              <a:rPr lang="el-GR"/>
              <a:t>α)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Sheet1!$D$1</c:f>
              <c:strCache>
                <c:ptCount val="1"/>
                <c:pt idx="0">
                  <c:v>Physical length with image plane at d(30mm)=2dtan(α)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</c:numCache>
            </c:numRef>
          </c:xVal>
          <c:yVal>
            <c:numRef>
              <c:f>Sheet1!$D$2:$D$21</c:f>
              <c:numCache>
                <c:formatCode>General</c:formatCode>
                <c:ptCount val="20"/>
                <c:pt idx="0">
                  <c:v>-27.97</c:v>
                </c:pt>
                <c:pt idx="1">
                  <c:v>-24.852</c:v>
                </c:pt>
                <c:pt idx="2">
                  <c:v>-21.838200000000001</c:v>
                </c:pt>
                <c:pt idx="3">
                  <c:v>-18.91</c:v>
                </c:pt>
                <c:pt idx="4">
                  <c:v>-16.07</c:v>
                </c:pt>
                <c:pt idx="5">
                  <c:v>-13.301</c:v>
                </c:pt>
                <c:pt idx="6">
                  <c:v>-10.579000000000001</c:v>
                </c:pt>
                <c:pt idx="7">
                  <c:v>-7.899</c:v>
                </c:pt>
                <c:pt idx="8">
                  <c:v>-5.2489999999999997</c:v>
                </c:pt>
                <c:pt idx="9">
                  <c:v>-2.6190000000000002</c:v>
                </c:pt>
                <c:pt idx="10">
                  <c:v>2.6190000000000002</c:v>
                </c:pt>
                <c:pt idx="11">
                  <c:v>5.2489999999999997</c:v>
                </c:pt>
                <c:pt idx="12">
                  <c:v>7.899</c:v>
                </c:pt>
                <c:pt idx="13">
                  <c:v>10.579000000000001</c:v>
                </c:pt>
                <c:pt idx="14">
                  <c:v>13.301</c:v>
                </c:pt>
                <c:pt idx="15">
                  <c:v>16.07</c:v>
                </c:pt>
                <c:pt idx="16">
                  <c:v>18.91</c:v>
                </c:pt>
                <c:pt idx="17">
                  <c:v>21.838200000000001</c:v>
                </c:pt>
                <c:pt idx="18">
                  <c:v>24.852</c:v>
                </c:pt>
                <c:pt idx="19">
                  <c:v>27.97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B7-4799-ACF0-84C08368A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266656"/>
        <c:axId val="17826149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Scaling factor 0.8V/ degree, Mechanical scan angle (θ)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-10</c:v>
                      </c:pt>
                      <c:pt idx="1">
                        <c:v>-9</c:v>
                      </c:pt>
                      <c:pt idx="2">
                        <c:v>-8</c:v>
                      </c:pt>
                      <c:pt idx="3">
                        <c:v>-7</c:v>
                      </c:pt>
                      <c:pt idx="4">
                        <c:v>-6</c:v>
                      </c:pt>
                      <c:pt idx="5">
                        <c:v>-5</c:v>
                      </c:pt>
                      <c:pt idx="6">
                        <c:v>-4</c:v>
                      </c:pt>
                      <c:pt idx="7">
                        <c:v>-3</c:v>
                      </c:pt>
                      <c:pt idx="8">
                        <c:v>-2</c:v>
                      </c:pt>
                      <c:pt idx="9">
                        <c:v>-1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5</c:v>
                      </c:pt>
                      <c:pt idx="15">
                        <c:v>6</c:v>
                      </c:pt>
                      <c:pt idx="16">
                        <c:v>7</c:v>
                      </c:pt>
                      <c:pt idx="17">
                        <c:v>8</c:v>
                      </c:pt>
                      <c:pt idx="18">
                        <c:v>9</c:v>
                      </c:pt>
                      <c:pt idx="19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Sheet1!$B$2:$B$21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-12.5</c:v>
                      </c:pt>
                      <c:pt idx="1">
                        <c:v>-11.25</c:v>
                      </c:pt>
                      <c:pt idx="2">
                        <c:v>-10</c:v>
                      </c:pt>
                      <c:pt idx="3">
                        <c:v>-8.75</c:v>
                      </c:pt>
                      <c:pt idx="4">
                        <c:v>-7.5</c:v>
                      </c:pt>
                      <c:pt idx="5">
                        <c:v>-6.25</c:v>
                      </c:pt>
                      <c:pt idx="6">
                        <c:v>-5</c:v>
                      </c:pt>
                      <c:pt idx="7">
                        <c:v>-3.75</c:v>
                      </c:pt>
                      <c:pt idx="8">
                        <c:v>-2.5</c:v>
                      </c:pt>
                      <c:pt idx="9">
                        <c:v>-1.25</c:v>
                      </c:pt>
                      <c:pt idx="10">
                        <c:v>1.25</c:v>
                      </c:pt>
                      <c:pt idx="11">
                        <c:v>2.5</c:v>
                      </c:pt>
                      <c:pt idx="12">
                        <c:v>3.75</c:v>
                      </c:pt>
                      <c:pt idx="13">
                        <c:v>5</c:v>
                      </c:pt>
                      <c:pt idx="14">
                        <c:v>6.25</c:v>
                      </c:pt>
                      <c:pt idx="15">
                        <c:v>7.5</c:v>
                      </c:pt>
                      <c:pt idx="16">
                        <c:v>8.75</c:v>
                      </c:pt>
                      <c:pt idx="17">
                        <c:v>10</c:v>
                      </c:pt>
                      <c:pt idx="18">
                        <c:v>11.25</c:v>
                      </c:pt>
                      <c:pt idx="19">
                        <c:v>12.5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CB7-4799-ACF0-84C08368A47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Optical scan angle (α) = 2x Mech. Angle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-10</c:v>
                      </c:pt>
                      <c:pt idx="1">
                        <c:v>-9</c:v>
                      </c:pt>
                      <c:pt idx="2">
                        <c:v>-8</c:v>
                      </c:pt>
                      <c:pt idx="3">
                        <c:v>-7</c:v>
                      </c:pt>
                      <c:pt idx="4">
                        <c:v>-6</c:v>
                      </c:pt>
                      <c:pt idx="5">
                        <c:v>-5</c:v>
                      </c:pt>
                      <c:pt idx="6">
                        <c:v>-4</c:v>
                      </c:pt>
                      <c:pt idx="7">
                        <c:v>-3</c:v>
                      </c:pt>
                      <c:pt idx="8">
                        <c:v>-2</c:v>
                      </c:pt>
                      <c:pt idx="9">
                        <c:v>-1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5</c:v>
                      </c:pt>
                      <c:pt idx="15">
                        <c:v>6</c:v>
                      </c:pt>
                      <c:pt idx="16">
                        <c:v>7</c:v>
                      </c:pt>
                      <c:pt idx="17">
                        <c:v>8</c:v>
                      </c:pt>
                      <c:pt idx="18">
                        <c:v>9</c:v>
                      </c:pt>
                      <c:pt idx="19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-25</c:v>
                      </c:pt>
                      <c:pt idx="1">
                        <c:v>-22.5</c:v>
                      </c:pt>
                      <c:pt idx="2">
                        <c:v>-20</c:v>
                      </c:pt>
                      <c:pt idx="3">
                        <c:v>-17.5</c:v>
                      </c:pt>
                      <c:pt idx="4">
                        <c:v>-15</c:v>
                      </c:pt>
                      <c:pt idx="5">
                        <c:v>-12.5</c:v>
                      </c:pt>
                      <c:pt idx="6">
                        <c:v>-10</c:v>
                      </c:pt>
                      <c:pt idx="7">
                        <c:v>-7.5</c:v>
                      </c:pt>
                      <c:pt idx="8">
                        <c:v>-5</c:v>
                      </c:pt>
                      <c:pt idx="9">
                        <c:v>-2.5</c:v>
                      </c:pt>
                      <c:pt idx="10">
                        <c:v>2.5</c:v>
                      </c:pt>
                      <c:pt idx="11">
                        <c:v>5</c:v>
                      </c:pt>
                      <c:pt idx="12">
                        <c:v>7.5</c:v>
                      </c:pt>
                      <c:pt idx="13">
                        <c:v>10</c:v>
                      </c:pt>
                      <c:pt idx="14">
                        <c:v>12.5</c:v>
                      </c:pt>
                      <c:pt idx="15">
                        <c:v>15</c:v>
                      </c:pt>
                      <c:pt idx="16">
                        <c:v>17.5</c:v>
                      </c:pt>
                      <c:pt idx="17">
                        <c:v>20</c:v>
                      </c:pt>
                      <c:pt idx="18">
                        <c:v>22.5</c:v>
                      </c:pt>
                      <c:pt idx="19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CB7-4799-ACF0-84C08368A47C}"/>
                  </c:ext>
                </c:extLst>
              </c15:ser>
            </c15:filteredScatterSeries>
          </c:ext>
        </c:extLst>
      </c:scatterChart>
      <c:valAx>
        <c:axId val="197026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14960"/>
        <c:crosses val="autoZero"/>
        <c:crossBetween val="midCat"/>
      </c:valAx>
      <c:valAx>
        <c:axId val="17826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Scanning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26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102972</xdr:colOff>
      <xdr:row>0</xdr:row>
      <xdr:rowOff>214819</xdr:rowOff>
    </xdr:from>
    <xdr:to>
      <xdr:col>12</xdr:col>
      <xdr:colOff>301545</xdr:colOff>
      <xdr:row>30</xdr:row>
      <xdr:rowOff>22883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F5989E-4E6B-2A22-DF21-22A12C3BE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B1C2-8697-4F1B-8B5A-F5534666047A}">
  <dimension ref="A1:F21"/>
  <sheetViews>
    <sheetView tabSelected="1" zoomScale="74" workbookViewId="0">
      <selection activeCell="D29" sqref="D29"/>
    </sheetView>
  </sheetViews>
  <sheetFormatPr defaultRowHeight="14.4" x14ac:dyDescent="0.3"/>
  <cols>
    <col min="2" max="2" width="46.33203125" customWidth="1"/>
    <col min="3" max="3" width="20.109375" customWidth="1"/>
    <col min="4" max="4" width="29.44140625" customWidth="1"/>
    <col min="5" max="5" width="17.44140625" customWidth="1"/>
    <col min="6" max="6" width="27.88671875" customWidth="1"/>
  </cols>
  <sheetData>
    <row r="1" spans="1:6" ht="28.8" x14ac:dyDescent="0.3">
      <c r="A1" t="s">
        <v>0</v>
      </c>
      <c r="B1" t="s">
        <v>1</v>
      </c>
      <c r="C1" s="2" t="s">
        <v>2</v>
      </c>
      <c r="D1" s="2" t="s">
        <v>3</v>
      </c>
      <c r="F1" s="1"/>
    </row>
    <row r="2" spans="1:6" x14ac:dyDescent="0.3">
      <c r="A2">
        <v>-10</v>
      </c>
      <c r="B2">
        <f>A2/0.8</f>
        <v>-12.5</v>
      </c>
      <c r="C2">
        <f>2*B2</f>
        <v>-25</v>
      </c>
      <c r="D2">
        <v>-27.97</v>
      </c>
    </row>
    <row r="3" spans="1:6" x14ac:dyDescent="0.3">
      <c r="A3">
        <v>-9</v>
      </c>
      <c r="B3">
        <f t="shared" ref="B3:B21" si="0">A3/0.8</f>
        <v>-11.25</v>
      </c>
      <c r="C3">
        <f t="shared" ref="C3:C21" si="1">2*B3</f>
        <v>-22.5</v>
      </c>
      <c r="D3">
        <v>-24.852</v>
      </c>
    </row>
    <row r="4" spans="1:6" x14ac:dyDescent="0.3">
      <c r="A4">
        <v>-8</v>
      </c>
      <c r="B4">
        <f t="shared" si="0"/>
        <v>-10</v>
      </c>
      <c r="C4">
        <f t="shared" si="1"/>
        <v>-20</v>
      </c>
      <c r="D4">
        <v>-21.838200000000001</v>
      </c>
    </row>
    <row r="5" spans="1:6" x14ac:dyDescent="0.3">
      <c r="A5">
        <v>-7</v>
      </c>
      <c r="B5">
        <f t="shared" si="0"/>
        <v>-8.75</v>
      </c>
      <c r="C5">
        <f t="shared" si="1"/>
        <v>-17.5</v>
      </c>
      <c r="D5">
        <v>-18.91</v>
      </c>
    </row>
    <row r="6" spans="1:6" x14ac:dyDescent="0.3">
      <c r="A6">
        <v>-6</v>
      </c>
      <c r="B6">
        <f t="shared" si="0"/>
        <v>-7.5</v>
      </c>
      <c r="C6">
        <f t="shared" si="1"/>
        <v>-15</v>
      </c>
      <c r="D6">
        <v>-16.07</v>
      </c>
    </row>
    <row r="7" spans="1:6" x14ac:dyDescent="0.3">
      <c r="A7">
        <v>-5</v>
      </c>
      <c r="B7">
        <f t="shared" si="0"/>
        <v>-6.25</v>
      </c>
      <c r="C7">
        <f t="shared" si="1"/>
        <v>-12.5</v>
      </c>
      <c r="D7">
        <v>-13.301</v>
      </c>
    </row>
    <row r="8" spans="1:6" x14ac:dyDescent="0.3">
      <c r="A8">
        <v>-4</v>
      </c>
      <c r="B8">
        <f t="shared" si="0"/>
        <v>-5</v>
      </c>
      <c r="C8">
        <f t="shared" si="1"/>
        <v>-10</v>
      </c>
      <c r="D8">
        <v>-10.579000000000001</v>
      </c>
    </row>
    <row r="9" spans="1:6" x14ac:dyDescent="0.3">
      <c r="A9">
        <v>-3</v>
      </c>
      <c r="B9">
        <f t="shared" si="0"/>
        <v>-3.75</v>
      </c>
      <c r="C9">
        <f t="shared" si="1"/>
        <v>-7.5</v>
      </c>
      <c r="D9">
        <v>-7.899</v>
      </c>
    </row>
    <row r="10" spans="1:6" x14ac:dyDescent="0.3">
      <c r="A10">
        <v>-2</v>
      </c>
      <c r="B10">
        <f t="shared" si="0"/>
        <v>-2.5</v>
      </c>
      <c r="C10">
        <f t="shared" si="1"/>
        <v>-5</v>
      </c>
      <c r="D10">
        <v>-5.2489999999999997</v>
      </c>
    </row>
    <row r="11" spans="1:6" x14ac:dyDescent="0.3">
      <c r="A11">
        <v>-1</v>
      </c>
      <c r="B11">
        <f t="shared" si="0"/>
        <v>-1.25</v>
      </c>
      <c r="C11">
        <f t="shared" si="1"/>
        <v>-2.5</v>
      </c>
      <c r="D11">
        <v>-2.6190000000000002</v>
      </c>
    </row>
    <row r="12" spans="1:6" x14ac:dyDescent="0.3">
      <c r="A12">
        <v>1</v>
      </c>
      <c r="B12">
        <f t="shared" si="0"/>
        <v>1.25</v>
      </c>
      <c r="C12">
        <f t="shared" si="1"/>
        <v>2.5</v>
      </c>
      <c r="D12">
        <v>2.6190000000000002</v>
      </c>
    </row>
    <row r="13" spans="1:6" x14ac:dyDescent="0.3">
      <c r="A13">
        <v>2</v>
      </c>
      <c r="B13">
        <f t="shared" si="0"/>
        <v>2.5</v>
      </c>
      <c r="C13">
        <f t="shared" si="1"/>
        <v>5</v>
      </c>
      <c r="D13">
        <v>5.2489999999999997</v>
      </c>
    </row>
    <row r="14" spans="1:6" x14ac:dyDescent="0.3">
      <c r="A14">
        <v>3</v>
      </c>
      <c r="B14">
        <f t="shared" si="0"/>
        <v>3.75</v>
      </c>
      <c r="C14">
        <f t="shared" si="1"/>
        <v>7.5</v>
      </c>
      <c r="D14">
        <v>7.899</v>
      </c>
    </row>
    <row r="15" spans="1:6" x14ac:dyDescent="0.3">
      <c r="A15">
        <v>4</v>
      </c>
      <c r="B15">
        <f t="shared" si="0"/>
        <v>5</v>
      </c>
      <c r="C15">
        <f t="shared" si="1"/>
        <v>10</v>
      </c>
      <c r="D15">
        <v>10.579000000000001</v>
      </c>
    </row>
    <row r="16" spans="1:6" x14ac:dyDescent="0.3">
      <c r="A16">
        <v>5</v>
      </c>
      <c r="B16">
        <f t="shared" si="0"/>
        <v>6.25</v>
      </c>
      <c r="C16">
        <f t="shared" si="1"/>
        <v>12.5</v>
      </c>
      <c r="D16">
        <v>13.301</v>
      </c>
    </row>
    <row r="17" spans="1:4" x14ac:dyDescent="0.3">
      <c r="A17">
        <v>6</v>
      </c>
      <c r="B17">
        <f t="shared" si="0"/>
        <v>7.5</v>
      </c>
      <c r="C17">
        <f t="shared" si="1"/>
        <v>15</v>
      </c>
      <c r="D17">
        <v>16.07</v>
      </c>
    </row>
    <row r="18" spans="1:4" x14ac:dyDescent="0.3">
      <c r="A18">
        <v>7</v>
      </c>
      <c r="B18">
        <f t="shared" si="0"/>
        <v>8.75</v>
      </c>
      <c r="C18">
        <f t="shared" si="1"/>
        <v>17.5</v>
      </c>
      <c r="D18">
        <v>18.91</v>
      </c>
    </row>
    <row r="19" spans="1:4" x14ac:dyDescent="0.3">
      <c r="A19">
        <v>8</v>
      </c>
      <c r="B19">
        <f t="shared" si="0"/>
        <v>10</v>
      </c>
      <c r="C19">
        <f t="shared" si="1"/>
        <v>20</v>
      </c>
      <c r="D19">
        <v>21.838200000000001</v>
      </c>
    </row>
    <row r="20" spans="1:4" x14ac:dyDescent="0.3">
      <c r="A20">
        <v>9</v>
      </c>
      <c r="B20">
        <f t="shared" si="0"/>
        <v>11.25</v>
      </c>
      <c r="C20">
        <f t="shared" si="1"/>
        <v>22.5</v>
      </c>
      <c r="D20">
        <v>24.852</v>
      </c>
    </row>
    <row r="21" spans="1:4" x14ac:dyDescent="0.3">
      <c r="A21">
        <v>10</v>
      </c>
      <c r="B21">
        <f t="shared" si="0"/>
        <v>12.5</v>
      </c>
      <c r="C21">
        <f t="shared" si="1"/>
        <v>25</v>
      </c>
      <c r="D21">
        <v>27.97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Dhar</dc:creator>
  <cp:lastModifiedBy>Pratik Dhar</cp:lastModifiedBy>
  <dcterms:created xsi:type="dcterms:W3CDTF">2026-09-03T07:47:45Z</dcterms:created>
  <dcterms:modified xsi:type="dcterms:W3CDTF">2026-09-06T19:50:23Z</dcterms:modified>
</cp:coreProperties>
</file>